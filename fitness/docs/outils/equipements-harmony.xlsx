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Équipements" sheetId="2" state="visible" r:id="rId2"/>
    <sheet name="Listes" sheetId="3" state="visible" r:id="rId3"/>
    <sheet name="Textes" sheetId="4" state="visible" r:id="rId4"/>
    <sheet name="Clubs" sheetId="5" state="visible" r:id="rId5"/>
  </sheets>
  <definedNames>
    <definedName name="_xlnm._FilterDatabase" localSheetId="1" hidden="1">'Équipements'!$A$1:$Q$22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767676"/>
      <sz val="10"/>
    </font>
    <font>
      <name val="Arial"/>
      <color rgb="009C3B00"/>
      <sz val="10"/>
    </font>
    <font>
      <name val="Arial"/>
      <b val="1"/>
      <sz val="14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B5B5B"/>
      </patternFill>
    </fill>
    <fill>
      <patternFill patternType="solid">
        <fgColor rgb="002E5C8A"/>
      </patternFill>
    </fill>
    <fill>
      <patternFill patternType="solid">
        <fgColor rgb="00EFEFEF"/>
      </patternFill>
    </fill>
    <fill>
      <patternFill patternType="solid">
        <fgColor rgb="00FFF7D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6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name val="Arial"/>
        <b val="1"/>
        <color rgb="009C0006"/>
        <sz val="10"/>
      </font>
      <fill>
        <patternFill patternType="solid">
          <fgColor rgb="00FCE4E4"/>
        </patternFill>
      </fill>
    </dxf>
    <dxf>
      <font>
        <name val="Arial"/>
        <b val="1"/>
        <color rgb="001F3864"/>
        <sz val="10"/>
      </font>
      <fill>
        <patternFill patternType="solid">
          <fgColor rgb="00E4EEF7"/>
        </patternFill>
      </fill>
    </dxf>
    <dxf>
      <font>
        <name val="Arial"/>
        <color rgb="002E5C2E"/>
        <sz val="10"/>
      </font>
      <fill>
        <patternFill patternType="solid">
          <fgColor rgb="00E8F3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2" ht="20" customHeight="1">
      <c r="B2" s="1" t="inlineStr">
        <is>
          <t>Équipements et espaces bien-être</t>
        </is>
      </c>
    </row>
    <row r="3">
      <c r="B3" s="2" t="inlineStr">
        <is>
          <t>Document de travail Harmony · pré-rempli avec ce que nous avons aujourd'hui, à vérifier et à compléter</t>
        </is>
      </c>
    </row>
    <row r="4" ht="20" customHeight="1">
      <c r="B4" s="3" t="inlineStr"/>
    </row>
    <row r="5" ht="20" customHeight="1">
      <c r="B5" s="4" t="inlineStr">
        <is>
          <t>Ce qu'on vous demande</t>
        </is>
      </c>
    </row>
    <row r="6">
      <c r="B6" s="3" t="inlineStr">
        <is>
          <t>Onglet « Équipements » : une ligne par équipement, et une croix dans la colonne de chaque club qui le propose. C'est la seule chose urgente. Les onglets « Textes » et « Clubs » peuvent attendre.</t>
        </is>
      </c>
    </row>
    <row r="7">
      <c r="B7" s="3" t="inlineStr">
        <is>
          <t>La liste des équipements est fermée, et c'est voulu : sinon un club écrit « Sauna », un autre « sauna finlandais », et les filtres du site ne marchent plus. S'il manque un équipement, ajoutez une ligne en bas, dans les lignes jaunes, et laissez-nous l'identifiant vide : on s'en occupe.</t>
        </is>
      </c>
    </row>
    <row r="8" ht="20" customHeight="1">
      <c r="B8" s="3" t="inlineStr"/>
    </row>
    <row r="9" ht="20" customHeight="1">
      <c r="B9" s="4" t="inlineStr">
        <is>
          <t>La colonne qui décide de tout : Bien-être</t>
        </is>
      </c>
    </row>
    <row r="10">
      <c r="B10" s="3" t="inlineStr">
        <is>
          <t>Oui ou Non. Les équipements marqués Oui, et eux seuls, apparaissent sur la page « Espaces wellness » du site et dans le bloc bien-être de chaque page club. Les autres restent de simples équipements, listés sur la page du club.</t>
        </is>
      </c>
    </row>
    <row r="11">
      <c r="B11" s="3" t="inlineStr">
        <is>
          <t>Aujourd'hui cinq sont à Oui : piscine, sauna, hammam, jacuzzi, jets massants. La piscine est la plus discutable : elle sert aussi aux cours aquatiques et à l'école de natation, et l'annoncer trois fois dans trois discours différents ne rend service à personne. Votre avis nous intéresse sur cette ligne en particulier.</t>
        </is>
      </c>
    </row>
    <row r="12" ht="20" customHeight="1">
      <c r="B12" s="3" t="inlineStr"/>
    </row>
    <row r="13" ht="20" customHeight="1">
      <c r="B13" s="4" t="inlineStr">
        <is>
          <t>Deux questions posées dans le fichier</t>
        </is>
      </c>
    </row>
    <row r="14">
      <c r="B14" s="3" t="inlineStr">
        <is>
          <t>Elles sont écrites en orange dans la colonne « Remarques », sur la ligne concernée. Jacuzzi et jets massants : votre document n'en faisait qu'une ligne, « Jacuzzi ou jet massant », nous en faisons deux. Hammam à Veyrier : nous l'avons retiré parce que le document ne le cochait pas, et ce document est ancien.</t>
        </is>
      </c>
    </row>
    <row r="15" ht="20" customHeight="1">
      <c r="B15" s="3" t="inlineStr"/>
    </row>
    <row r="16" ht="20" customHeight="1">
      <c r="B16" s="4" t="inlineStr">
        <is>
          <t>Les autres colonnes</t>
        </is>
      </c>
    </row>
    <row r="17">
      <c r="B17" s="3" t="inlineStr">
        <is>
          <t>Identifiant · notre clé technique. Elle ne change jamais, même si l'équipement est renommé. Ne rien y écrire, ne pas la supprimer : c'est elle qui permet de recharger ce fichier sans tout recasser.</t>
        </is>
      </c>
    </row>
    <row r="18">
      <c r="B18" s="3" t="inlineStr">
        <is>
          <t>Équipement · le nom exact, tel qu'il doit apparaître sur le site. C'est le seul endroit où ce nom se décide.</t>
        </is>
      </c>
    </row>
    <row r="19">
      <c r="B19" s="3" t="inlineStr">
        <is>
          <t>Statut · Actif, Nouveau, ou À retirer. Ne supprimez pas une ligne : marquez-la À retirer, on saura quoi faire de l'existant.</t>
        </is>
      </c>
    </row>
    <row r="20">
      <c r="B20" s="3" t="inlineStr">
        <is>
          <t>Une colonne par club · une croix si le club le propose, rien sinon. Une case vide veut dire « non », pas « je ne sais pas » : s'il y a un doute, dites-le en Remarques.</t>
        </is>
      </c>
    </row>
    <row r="21">
      <c r="B21" s="3" t="inlineStr">
        <is>
          <t>Nb clubs et Contrôle · calculés, ne rien y écrire. Le contrôle devient rouge quand il manque quelque chose.</t>
        </is>
      </c>
    </row>
    <row r="22" ht="20" customHeight="1">
      <c r="B22" s="3" t="inlineStr"/>
    </row>
    <row r="23" ht="20" customHeight="1">
      <c r="B23" s="4" t="inlineStr">
        <is>
          <t>Le point le plus facile à rater</t>
        </is>
      </c>
    </row>
    <row r="24">
      <c r="B24" s="3" t="inlineStr">
        <is>
          <t>Un équipement hors service depuis six mois est toujours un équipement du club, et le site l'annoncera. Si un sauna est fermé pour travaux, ne décochez pas la case : dites-le en Remarques. Décocher revient à dire au visiteur qu'il n'y en a pas, et une absence annoncée à tort est pire qu'un silence.</t>
        </is>
      </c>
    </row>
    <row r="25" ht="20" customHeight="1">
      <c r="B25" s="3" t="inlineStr"/>
    </row>
    <row r="26" ht="20" customHeight="1">
      <c r="B26" s="4" t="inlineStr">
        <is>
          <t>Les couleurs</t>
        </is>
      </c>
    </row>
    <row r="27">
      <c r="B27" s="3" t="inlineStr">
        <is>
          <t>Jaune pâle · à remplir. Bleu · une croix sur un équipement bien-être. Vert · une croix sur un équipement ordinaire. Rouge · une incohérence à regarder. Orange · une question qu'on vous pose.</t>
        </is>
      </c>
    </row>
    <row r="28" ht="20" customHeight="1">
      <c r="B28" s="3" t="inlineStr"/>
    </row>
    <row r="29">
      <c r="B29" s="2" t="inlineStr">
        <is>
          <t>Les lignes déjà remplies viennent du document de disponibilité par club que vous nous avez transmis, et de ce que nous avions avant lui. Elles sont à vérifier, pas à prendre pour argent comptant.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0" customWidth="1" min="15" max="15"/>
    <col width="26" customWidth="1" min="16" max="16"/>
    <col width="52" customWidth="1" min="17" max="17"/>
  </cols>
  <sheetData>
    <row r="1" ht="36" customHeight="1">
      <c r="A1" s="5" t="inlineStr">
        <is>
          <t>Identifiant</t>
        </is>
      </c>
      <c r="B1" s="6" t="inlineStr">
        <is>
          <t>Équipement</t>
        </is>
      </c>
      <c r="C1" s="6" t="inlineStr">
        <is>
          <t>Statut</t>
        </is>
      </c>
      <c r="D1" s="6" t="inlineStr">
        <is>
          <t>Bien-être</t>
        </is>
      </c>
      <c r="E1" s="7" t="inlineStr">
        <is>
          <t>Blandonnet
(Essential)</t>
        </is>
      </c>
      <c r="F1" s="7" t="inlineStr">
        <is>
          <t>Genève · Eaux-Vives
(Essential)</t>
        </is>
      </c>
      <c r="G1" s="7" t="inlineStr">
        <is>
          <t>Genève · La Praille
(Premium)</t>
        </is>
      </c>
      <c r="H1" s="7" t="inlineStr">
        <is>
          <t>Genève · Pâquis
(Gym)</t>
        </is>
      </c>
      <c r="I1" s="7" t="inlineStr">
        <is>
          <t>Meyrin
(Essential)</t>
        </is>
      </c>
      <c r="J1" s="7" t="inlineStr">
        <is>
          <t>Versoix
(Essential)</t>
        </is>
      </c>
      <c r="K1" s="7" t="inlineStr">
        <is>
          <t>Veyrier
(Premium)</t>
        </is>
      </c>
      <c r="L1" s="7" t="inlineStr">
        <is>
          <t>Denges
(Premium)</t>
        </is>
      </c>
      <c r="M1" s="7" t="inlineStr">
        <is>
          <t>Gland
(Essential)</t>
        </is>
      </c>
      <c r="N1" s="7" t="inlineStr">
        <is>
          <t>Signy
(Essential)</t>
        </is>
      </c>
      <c r="O1" s="6" t="inlineStr">
        <is>
          <t>Nb clubs</t>
        </is>
      </c>
      <c r="P1" s="6" t="inlineStr">
        <is>
          <t>Contrôle</t>
        </is>
      </c>
      <c r="Q1" s="6" t="inlineStr">
        <is>
          <t>Remarques</t>
        </is>
      </c>
    </row>
    <row r="2">
      <c r="A2" s="8" t="inlineStr">
        <is>
          <t>musculation</t>
        </is>
      </c>
      <c r="B2" s="8" t="inlineStr">
        <is>
          <t>Plateau musculation</t>
        </is>
      </c>
      <c r="C2" s="8" t="inlineStr">
        <is>
          <t>Actif</t>
        </is>
      </c>
      <c r="D2" s="8" t="inlineStr">
        <is>
          <t>Non</t>
        </is>
      </c>
      <c r="E2" s="9" t="inlineStr">
        <is>
          <t>x</t>
        </is>
      </c>
      <c r="F2" s="9" t="inlineStr">
        <is>
          <t>x</t>
        </is>
      </c>
      <c r="G2" s="9" t="inlineStr">
        <is>
          <t>x</t>
        </is>
      </c>
      <c r="H2" s="9" t="inlineStr">
        <is>
          <t>x</t>
        </is>
      </c>
      <c r="I2" s="9" t="inlineStr">
        <is>
          <t>x</t>
        </is>
      </c>
      <c r="J2" s="9" t="inlineStr">
        <is>
          <t>x</t>
        </is>
      </c>
      <c r="K2" s="9" t="inlineStr">
        <is>
          <t>x</t>
        </is>
      </c>
      <c r="L2" s="9" t="inlineStr">
        <is>
          <t>x</t>
        </is>
      </c>
      <c r="M2" s="9" t="inlineStr">
        <is>
          <t>x</t>
        </is>
      </c>
      <c r="N2" s="9" t="inlineStr">
        <is>
          <t>x</t>
        </is>
      </c>
      <c r="O2" s="10">
        <f>IF(B2="","",COUNTA(E2:N2))</f>
        <v/>
      </c>
      <c r="P2" s="11">
        <f>IF(B2="","",IF(C2="","Statut à choisir",IF(D2="","Bien-être : oui ou non",IF(O2=0,"Aucun club coché","OK"))))</f>
        <v/>
      </c>
      <c r="Q2" s="12" t="n"/>
    </row>
    <row r="3">
      <c r="A3" s="8" t="inlineStr">
        <is>
          <t>cardio</t>
        </is>
      </c>
      <c r="B3" s="8" t="inlineStr">
        <is>
          <t>Zone cardio</t>
        </is>
      </c>
      <c r="C3" s="8" t="inlineStr">
        <is>
          <t>Actif</t>
        </is>
      </c>
      <c r="D3" s="8" t="inlineStr">
        <is>
          <t>Non</t>
        </is>
      </c>
      <c r="E3" s="9" t="inlineStr">
        <is>
          <t>x</t>
        </is>
      </c>
      <c r="F3" s="9" t="inlineStr">
        <is>
          <t>x</t>
        </is>
      </c>
      <c r="G3" s="9" t="inlineStr">
        <is>
          <t>x</t>
        </is>
      </c>
      <c r="H3" s="9" t="inlineStr">
        <is>
          <t>x</t>
        </is>
      </c>
      <c r="I3" s="9" t="inlineStr">
        <is>
          <t>x</t>
        </is>
      </c>
      <c r="J3" s="9" t="inlineStr">
        <is>
          <t>x</t>
        </is>
      </c>
      <c r="K3" s="9" t="inlineStr">
        <is>
          <t>x</t>
        </is>
      </c>
      <c r="L3" s="9" t="inlineStr">
        <is>
          <t>x</t>
        </is>
      </c>
      <c r="M3" s="9" t="inlineStr">
        <is>
          <t>x</t>
        </is>
      </c>
      <c r="N3" s="9" t="inlineStr">
        <is>
          <t>x</t>
        </is>
      </c>
      <c r="O3" s="10">
        <f>IF(B3="","",COUNTA(E3:N3))</f>
        <v/>
      </c>
      <c r="P3" s="11">
        <f>IF(B3="","",IF(C3="","Statut à choisir",IF(D3="","Bien-être : oui ou non",IF(O3=0,"Aucun club coché","OK"))))</f>
        <v/>
      </c>
      <c r="Q3" s="12" t="n"/>
    </row>
    <row r="4">
      <c r="A4" s="8" t="inlineStr">
        <is>
          <t>fonctionnel</t>
        </is>
      </c>
      <c r="B4" s="8" t="inlineStr">
        <is>
          <t>Espace fonctionnel</t>
        </is>
      </c>
      <c r="C4" s="8" t="inlineStr">
        <is>
          <t>Actif</t>
        </is>
      </c>
      <c r="D4" s="8" t="inlineStr">
        <is>
          <t>Non</t>
        </is>
      </c>
      <c r="E4" s="9" t="inlineStr">
        <is>
          <t>x</t>
        </is>
      </c>
      <c r="F4" s="9" t="n"/>
      <c r="G4" s="9" t="inlineStr">
        <is>
          <t>x</t>
        </is>
      </c>
      <c r="H4" s="9" t="inlineStr">
        <is>
          <t>x</t>
        </is>
      </c>
      <c r="I4" s="9" t="inlineStr">
        <is>
          <t>x</t>
        </is>
      </c>
      <c r="J4" s="9" t="n"/>
      <c r="K4" s="9" t="inlineStr">
        <is>
          <t>x</t>
        </is>
      </c>
      <c r="L4" s="9" t="inlineStr">
        <is>
          <t>x</t>
        </is>
      </c>
      <c r="M4" s="9" t="n"/>
      <c r="N4" s="9" t="inlineStr">
        <is>
          <t>x</t>
        </is>
      </c>
      <c r="O4" s="10">
        <f>IF(B4="","",COUNTA(E4:N4))</f>
        <v/>
      </c>
      <c r="P4" s="11">
        <f>IF(B4="","",IF(C4="","Statut à choisir",IF(D4="","Bien-être : oui ou non",IF(O4=0,"Aucun club coché","OK"))))</f>
        <v/>
      </c>
      <c r="Q4" s="12" t="n"/>
    </row>
    <row r="5">
      <c r="A5" s="8" t="inlineStr">
        <is>
          <t>cross</t>
        </is>
      </c>
      <c r="B5" s="8" t="inlineStr">
        <is>
          <t>Cross training</t>
        </is>
      </c>
      <c r="C5" s="8" t="inlineStr">
        <is>
          <t>Actif</t>
        </is>
      </c>
      <c r="D5" s="8" t="inlineStr">
        <is>
          <t>Non</t>
        </is>
      </c>
      <c r="E5" s="9" t="n"/>
      <c r="F5" s="9" t="n"/>
      <c r="G5" s="9" t="inlineStr">
        <is>
          <t>x</t>
        </is>
      </c>
      <c r="H5" s="9" t="n"/>
      <c r="I5" s="9" t="inlineStr">
        <is>
          <t>x</t>
        </is>
      </c>
      <c r="J5" s="9" t="n"/>
      <c r="K5" s="9" t="n"/>
      <c r="L5" s="9" t="inlineStr">
        <is>
          <t>x</t>
        </is>
      </c>
      <c r="M5" s="9" t="n"/>
      <c r="N5" s="9" t="n"/>
      <c r="O5" s="10">
        <f>IF(B5="","",COUNTA(E5:N5))</f>
        <v/>
      </c>
      <c r="P5" s="11">
        <f>IF(B5="","",IF(C5="","Statut à choisir",IF(D5="","Bien-être : oui ou non",IF(O5=0,"Aucun club coché","OK"))))</f>
        <v/>
      </c>
      <c r="Q5" s="12" t="n"/>
    </row>
    <row r="6">
      <c r="A6" s="8" t="inlineStr">
        <is>
          <t>salle-cours</t>
        </is>
      </c>
      <c r="B6" s="8" t="inlineStr">
        <is>
          <t>Salle de cours</t>
        </is>
      </c>
      <c r="C6" s="8" t="inlineStr">
        <is>
          <t>Actif</t>
        </is>
      </c>
      <c r="D6" s="8" t="inlineStr">
        <is>
          <t>Non</t>
        </is>
      </c>
      <c r="E6" s="9" t="inlineStr">
        <is>
          <t>x</t>
        </is>
      </c>
      <c r="F6" s="9" t="inlineStr">
        <is>
          <t>x</t>
        </is>
      </c>
      <c r="G6" s="9" t="inlineStr">
        <is>
          <t>x</t>
        </is>
      </c>
      <c r="H6" s="9" t="n"/>
      <c r="I6" s="9" t="inlineStr">
        <is>
          <t>x</t>
        </is>
      </c>
      <c r="J6" s="9" t="inlineStr">
        <is>
          <t>x</t>
        </is>
      </c>
      <c r="K6" s="9" t="inlineStr">
        <is>
          <t>x</t>
        </is>
      </c>
      <c r="L6" s="9" t="inlineStr">
        <is>
          <t>x</t>
        </is>
      </c>
      <c r="M6" s="9" t="inlineStr">
        <is>
          <t>x</t>
        </is>
      </c>
      <c r="N6" s="9" t="inlineStr">
        <is>
          <t>x</t>
        </is>
      </c>
      <c r="O6" s="10">
        <f>IF(B6="","",COUNTA(E6:N6))</f>
        <v/>
      </c>
      <c r="P6" s="11">
        <f>IF(B6="","",IF(C6="","Statut à choisir",IF(D6="","Bien-être : oui ou non",IF(O6=0,"Aucun club coché","OK"))))</f>
        <v/>
      </c>
      <c r="Q6" s="12" t="n"/>
    </row>
    <row r="7">
      <c r="A7" s="8" t="inlineStr">
        <is>
          <t>piscine</t>
        </is>
      </c>
      <c r="B7" s="8" t="inlineStr">
        <is>
          <t>Piscine</t>
        </is>
      </c>
      <c r="C7" s="8" t="inlineStr">
        <is>
          <t>Actif</t>
        </is>
      </c>
      <c r="D7" s="8" t="inlineStr">
        <is>
          <t>Oui</t>
        </is>
      </c>
      <c r="E7" s="9" t="n"/>
      <c r="F7" s="9" t="n"/>
      <c r="G7" s="9" t="inlineStr">
        <is>
          <t>x</t>
        </is>
      </c>
      <c r="H7" s="9" t="n"/>
      <c r="I7" s="9" t="n"/>
      <c r="J7" s="9" t="n"/>
      <c r="K7" s="9" t="inlineStr">
        <is>
          <t>x</t>
        </is>
      </c>
      <c r="L7" s="9" t="inlineStr">
        <is>
          <t>x</t>
        </is>
      </c>
      <c r="M7" s="9" t="n"/>
      <c r="N7" s="9" t="n"/>
      <c r="O7" s="10">
        <f>IF(B7="","",COUNTA(E7:N7))</f>
        <v/>
      </c>
      <c r="P7" s="11">
        <f>IF(B7="","",IF(C7="","Statut à choisir",IF(D7="","Bien-être : oui ou non",IF(O7=0,"Aucun club coché","OK"))))</f>
        <v/>
      </c>
      <c r="Q7" s="12" t="n"/>
    </row>
    <row r="8">
      <c r="A8" s="8" t="inlineStr">
        <is>
          <t>sauna</t>
        </is>
      </c>
      <c r="B8" s="8" t="inlineStr">
        <is>
          <t>Sauna</t>
        </is>
      </c>
      <c r="C8" s="8" t="inlineStr">
        <is>
          <t>Actif</t>
        </is>
      </c>
      <c r="D8" s="8" t="inlineStr">
        <is>
          <t>Oui</t>
        </is>
      </c>
      <c r="E8" s="9" t="inlineStr">
        <is>
          <t>x</t>
        </is>
      </c>
      <c r="F8" s="9" t="inlineStr">
        <is>
          <t>x</t>
        </is>
      </c>
      <c r="G8" s="9" t="inlineStr">
        <is>
          <t>x</t>
        </is>
      </c>
      <c r="H8" s="9" t="n"/>
      <c r="I8" s="9" t="inlineStr">
        <is>
          <t>x</t>
        </is>
      </c>
      <c r="J8" s="9" t="inlineStr">
        <is>
          <t>x</t>
        </is>
      </c>
      <c r="K8" s="9" t="inlineStr">
        <is>
          <t>x</t>
        </is>
      </c>
      <c r="L8" s="9" t="inlineStr">
        <is>
          <t>x</t>
        </is>
      </c>
      <c r="M8" s="9" t="inlineStr">
        <is>
          <t>x</t>
        </is>
      </c>
      <c r="N8" s="9" t="inlineStr">
        <is>
          <t>x</t>
        </is>
      </c>
      <c r="O8" s="10">
        <f>IF(B8="","",COUNTA(E8:N8))</f>
        <v/>
      </c>
      <c r="P8" s="11">
        <f>IF(B8="","",IF(C8="","Statut à choisir",IF(D8="","Bien-être : oui ou non",IF(O8=0,"Aucun club coché","OK"))))</f>
        <v/>
      </c>
      <c r="Q8" s="12" t="n"/>
    </row>
    <row r="9">
      <c r="A9" s="8" t="inlineStr">
        <is>
          <t>hammam</t>
        </is>
      </c>
      <c r="B9" s="8" t="inlineStr">
        <is>
          <t>Hammam</t>
        </is>
      </c>
      <c r="C9" s="8" t="inlineStr">
        <is>
          <t>Actif</t>
        </is>
      </c>
      <c r="D9" s="8" t="inlineStr">
        <is>
          <t>Oui</t>
        </is>
      </c>
      <c r="E9" s="9" t="n"/>
      <c r="F9" s="9" t="n"/>
      <c r="G9" s="9" t="inlineStr">
        <is>
          <t>x</t>
        </is>
      </c>
      <c r="H9" s="9" t="n"/>
      <c r="I9" s="9" t="inlineStr">
        <is>
          <t>x</t>
        </is>
      </c>
      <c r="J9" s="9" t="n"/>
      <c r="K9" s="9" t="n"/>
      <c r="L9" s="9" t="inlineStr">
        <is>
          <t>x</t>
        </is>
      </c>
      <c r="M9" s="9" t="inlineStr">
        <is>
          <t>x</t>
        </is>
      </c>
      <c r="N9" s="9" t="inlineStr">
        <is>
          <t>x</t>
        </is>
      </c>
      <c r="O9" s="10">
        <f>IF(B9="","",COUNTA(E9:N9))</f>
        <v/>
      </c>
      <c r="P9" s="11">
        <f>IF(B9="","",IF(C9="","Statut à choisir",IF(D9="","Bien-être : oui ou non",IF(O9=0,"Aucun club coché","OK"))))</f>
        <v/>
      </c>
      <c r="Q9" s="13" t="inlineStr">
        <is>
          <t>Veyrier : le document ne cochait pas le hammam, nous l'avons donc retiré. C'est la seule suppression de l'opération, et le document est ancien : à confirmer.</t>
        </is>
      </c>
    </row>
    <row r="10">
      <c r="A10" s="8" t="inlineStr">
        <is>
          <t>jacuzzi</t>
        </is>
      </c>
      <c r="B10" s="8" t="inlineStr">
        <is>
          <t>Jacuzzi</t>
        </is>
      </c>
      <c r="C10" s="8" t="inlineStr">
        <is>
          <t>Actif</t>
        </is>
      </c>
      <c r="D10" s="8" t="inlineStr">
        <is>
          <t>Oui</t>
        </is>
      </c>
      <c r="E10" s="9" t="n"/>
      <c r="F10" s="9" t="n"/>
      <c r="G10" s="9" t="inlineStr">
        <is>
          <t>x</t>
        </is>
      </c>
      <c r="H10" s="9" t="n"/>
      <c r="I10" s="9" t="n"/>
      <c r="J10" s="9" t="n"/>
      <c r="K10" s="9" t="inlineStr">
        <is>
          <t>x</t>
        </is>
      </c>
      <c r="L10" s="9" t="n"/>
      <c r="M10" s="9" t="n"/>
      <c r="N10" s="9" t="n"/>
      <c r="O10" s="10">
        <f>IF(B10="","",COUNTA(E10:N10))</f>
        <v/>
      </c>
      <c r="P10" s="11">
        <f>IF(B10="","",IF(C10="","Statut à choisir",IF(D10="","Bien-être : oui ou non",IF(O10=0,"Aucun club coché","OK"))))</f>
        <v/>
      </c>
      <c r="Q10" s="13" t="inlineStr">
        <is>
          <t>Le document que vous nous avez transmis dit « Jacuzzi ou jet massant » en une seule ligne. Nous en faisons deux. Merci de préciser club par club, ou de nous dire s'il faut n'en faire qu'un seul équipement.</t>
        </is>
      </c>
    </row>
    <row r="11">
      <c r="A11" s="8" t="inlineStr">
        <is>
          <t>jets</t>
        </is>
      </c>
      <c r="B11" s="8" t="inlineStr">
        <is>
          <t>Jets massants</t>
        </is>
      </c>
      <c r="C11" s="8" t="inlineStr">
        <is>
          <t>Actif</t>
        </is>
      </c>
      <c r="D11" s="8" t="inlineStr">
        <is>
          <t>Oui</t>
        </is>
      </c>
      <c r="E11" s="9" t="n"/>
      <c r="F11" s="9" t="n"/>
      <c r="G11" s="9" t="inlineStr">
        <is>
          <t>x</t>
        </is>
      </c>
      <c r="H11" s="9" t="n"/>
      <c r="I11" s="9" t="n"/>
      <c r="J11" s="9" t="n"/>
      <c r="K11" s="9" t="n"/>
      <c r="L11" s="9" t="inlineStr">
        <is>
          <t>x</t>
        </is>
      </c>
      <c r="M11" s="9" t="n"/>
      <c r="N11" s="9" t="n"/>
      <c r="O11" s="10">
        <f>IF(B11="","",COUNTA(E11:N11))</f>
        <v/>
      </c>
      <c r="P11" s="11">
        <f>IF(B11="","",IF(C11="","Statut à choisir",IF(D11="","Bien-être : oui ou non",IF(O11=0,"Aucun club coché","OK"))))</f>
        <v/>
      </c>
      <c r="Q11" s="13" t="inlineStr">
        <is>
          <t>Même question que pour le jacuzzi : une ligne chez vous, deux chez nous.</t>
        </is>
      </c>
    </row>
    <row r="12">
      <c r="A12" s="8" t="inlineStr">
        <is>
          <t>parking</t>
        </is>
      </c>
      <c r="B12" s="8" t="inlineStr">
        <is>
          <t>Parking</t>
        </is>
      </c>
      <c r="C12" s="8" t="inlineStr">
        <is>
          <t>Actif</t>
        </is>
      </c>
      <c r="D12" s="8" t="inlineStr">
        <is>
          <t>Non</t>
        </is>
      </c>
      <c r="E12" s="9" t="inlineStr">
        <is>
          <t>x</t>
        </is>
      </c>
      <c r="F12" s="9" t="n"/>
      <c r="G12" s="9" t="inlineStr">
        <is>
          <t>x</t>
        </is>
      </c>
      <c r="H12" s="9" t="n"/>
      <c r="I12" s="9" t="inlineStr">
        <is>
          <t>x</t>
        </is>
      </c>
      <c r="J12" s="9" t="inlineStr">
        <is>
          <t>x</t>
        </is>
      </c>
      <c r="K12" s="9" t="inlineStr">
        <is>
          <t>x</t>
        </is>
      </c>
      <c r="L12" s="9" t="inlineStr">
        <is>
          <t>x</t>
        </is>
      </c>
      <c r="M12" s="9" t="inlineStr">
        <is>
          <t>x</t>
        </is>
      </c>
      <c r="N12" s="9" t="inlineStr">
        <is>
          <t>x</t>
        </is>
      </c>
      <c r="O12" s="10">
        <f>IF(B12="","",COUNTA(E12:N12))</f>
        <v/>
      </c>
      <c r="P12" s="11">
        <f>IF(B12="","",IF(C12="","Statut à choisir",IF(D12="","Bien-être : oui ou non",IF(O12=0,"Aucun club coché","OK"))))</f>
        <v/>
      </c>
      <c r="Q12" s="12" t="n"/>
    </row>
    <row r="13">
      <c r="A13" s="8" t="n"/>
      <c r="B13" s="14" t="n"/>
      <c r="C13" s="14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0">
        <f>IF(B13="","",COUNTA(E13:N13))</f>
        <v/>
      </c>
      <c r="P13" s="11">
        <f>IF(B13="","",IF(C13="","Statut à choisir",IF(D13="","Bien-être : oui ou non",IF(O13=0,"Aucun club coché","OK"))))</f>
        <v/>
      </c>
      <c r="Q13" s="16" t="n"/>
    </row>
    <row r="14">
      <c r="A14" s="8" t="n"/>
      <c r="B14" s="14" t="n"/>
      <c r="C14" s="14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0">
        <f>IF(B14="","",COUNTA(E14:N14))</f>
        <v/>
      </c>
      <c r="P14" s="11">
        <f>IF(B14="","",IF(C14="","Statut à choisir",IF(D14="","Bien-être : oui ou non",IF(O14=0,"Aucun club coché","OK"))))</f>
        <v/>
      </c>
      <c r="Q14" s="16" t="n"/>
    </row>
    <row r="15">
      <c r="A15" s="8" t="n"/>
      <c r="B15" s="14" t="n"/>
      <c r="C15" s="14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0">
        <f>IF(B15="","",COUNTA(E15:N15))</f>
        <v/>
      </c>
      <c r="P15" s="11">
        <f>IF(B15="","",IF(C15="","Statut à choisir",IF(D15="","Bien-être : oui ou non",IF(O15=0,"Aucun club coché","OK"))))</f>
        <v/>
      </c>
      <c r="Q15" s="16" t="n"/>
    </row>
    <row r="16">
      <c r="A16" s="8" t="n"/>
      <c r="B16" s="14" t="n"/>
      <c r="C16" s="14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0">
        <f>IF(B16="","",COUNTA(E16:N16))</f>
        <v/>
      </c>
      <c r="P16" s="11">
        <f>IF(B16="","",IF(C16="","Statut à choisir",IF(D16="","Bien-être : oui ou non",IF(O16=0,"Aucun club coché","OK"))))</f>
        <v/>
      </c>
      <c r="Q16" s="16" t="n"/>
    </row>
    <row r="17">
      <c r="A17" s="8" t="n"/>
      <c r="B17" s="14" t="n"/>
      <c r="C17" s="14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0">
        <f>IF(B17="","",COUNTA(E17:N17))</f>
        <v/>
      </c>
      <c r="P17" s="11">
        <f>IF(B17="","",IF(C17="","Statut à choisir",IF(D17="","Bien-être : oui ou non",IF(O17=0,"Aucun club coché","OK"))))</f>
        <v/>
      </c>
      <c r="Q17" s="16" t="n"/>
    </row>
    <row r="18">
      <c r="A18" s="8" t="n"/>
      <c r="B18" s="14" t="n"/>
      <c r="C18" s="14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0">
        <f>IF(B18="","",COUNTA(E18:N18))</f>
        <v/>
      </c>
      <c r="P18" s="11">
        <f>IF(B18="","",IF(C18="","Statut à choisir",IF(D18="","Bien-être : oui ou non",IF(O18=0,"Aucun club coché","OK"))))</f>
        <v/>
      </c>
      <c r="Q18" s="16" t="n"/>
    </row>
    <row r="19">
      <c r="A19" s="8" t="n"/>
      <c r="B19" s="14" t="n"/>
      <c r="C19" s="14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0">
        <f>IF(B19="","",COUNTA(E19:N19))</f>
        <v/>
      </c>
      <c r="P19" s="11">
        <f>IF(B19="","",IF(C19="","Statut à choisir",IF(D19="","Bien-être : oui ou non",IF(O19=0,"Aucun club coché","OK"))))</f>
        <v/>
      </c>
      <c r="Q19" s="16" t="n"/>
    </row>
    <row r="20">
      <c r="A20" s="8" t="n"/>
      <c r="B20" s="14" t="n"/>
      <c r="C20" s="14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0">
        <f>IF(B20="","",COUNTA(E20:N20))</f>
        <v/>
      </c>
      <c r="P20" s="11">
        <f>IF(B20="","",IF(C20="","Statut à choisir",IF(D20="","Bien-être : oui ou non",IF(O20=0,"Aucun club coché","OK"))))</f>
        <v/>
      </c>
      <c r="Q20" s="16" t="n"/>
    </row>
    <row r="21">
      <c r="A21" s="8" t="n"/>
      <c r="B21" s="14" t="n"/>
      <c r="C21" s="14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0">
        <f>IF(B21="","",COUNTA(E21:N21))</f>
        <v/>
      </c>
      <c r="P21" s="11">
        <f>IF(B21="","",IF(C21="","Statut à choisir",IF(D21="","Bien-être : oui ou non",IF(O21=0,"Aucun club coché","OK"))))</f>
        <v/>
      </c>
      <c r="Q21" s="16" t="n"/>
    </row>
    <row r="22">
      <c r="A22" s="8" t="n"/>
      <c r="B22" s="14" t="n"/>
      <c r="C22" s="14" t="n"/>
      <c r="D22" s="14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0">
        <f>IF(B22="","",COUNTA(E22:N22))</f>
        <v/>
      </c>
      <c r="P22" s="11">
        <f>IF(B22="","",IF(C22="","Statut à choisir",IF(D22="","Bien-être : oui ou non",IF(O22=0,"Aucun club coché","OK"))))</f>
        <v/>
      </c>
      <c r="Q22" s="16" t="n"/>
    </row>
  </sheetData>
  <autoFilter ref="A1:Q22"/>
  <conditionalFormatting sqref="P2:P22">
    <cfRule type="expression" priority="1" dxfId="0">
      <formula>AND($P2&lt;&gt;"",$P2&lt;&gt;"OK")</formula>
    </cfRule>
  </conditionalFormatting>
  <conditionalFormatting sqref="E2:E22">
    <cfRule type="expression" priority="2" dxfId="1">
      <formula>AND(E2&lt;&gt;"",$D2="Oui")</formula>
    </cfRule>
    <cfRule type="expression" priority="3" dxfId="2">
      <formula>AND(E2&lt;&gt;"",$D2="Non")</formula>
    </cfRule>
  </conditionalFormatting>
  <conditionalFormatting sqref="F2:F22">
    <cfRule type="expression" priority="4" dxfId="1">
      <formula>AND(F2&lt;&gt;"",$D2="Oui")</formula>
    </cfRule>
    <cfRule type="expression" priority="5" dxfId="2">
      <formula>AND(F2&lt;&gt;"",$D2="Non")</formula>
    </cfRule>
  </conditionalFormatting>
  <conditionalFormatting sqref="G2:G22">
    <cfRule type="expression" priority="6" dxfId="1">
      <formula>AND(G2&lt;&gt;"",$D2="Oui")</formula>
    </cfRule>
    <cfRule type="expression" priority="7" dxfId="2">
      <formula>AND(G2&lt;&gt;"",$D2="Non")</formula>
    </cfRule>
  </conditionalFormatting>
  <conditionalFormatting sqref="H2:H22">
    <cfRule type="expression" priority="8" dxfId="1">
      <formula>AND(H2&lt;&gt;"",$D2="Oui")</formula>
    </cfRule>
    <cfRule type="expression" priority="9" dxfId="2">
      <formula>AND(H2&lt;&gt;"",$D2="Non")</formula>
    </cfRule>
  </conditionalFormatting>
  <conditionalFormatting sqref="I2:I22">
    <cfRule type="expression" priority="10" dxfId="1">
      <formula>AND(I2&lt;&gt;"",$D2="Oui")</formula>
    </cfRule>
    <cfRule type="expression" priority="11" dxfId="2">
      <formula>AND(I2&lt;&gt;"",$D2="Non")</formula>
    </cfRule>
  </conditionalFormatting>
  <conditionalFormatting sqref="J2:J22">
    <cfRule type="expression" priority="12" dxfId="1">
      <formula>AND(J2&lt;&gt;"",$D2="Oui")</formula>
    </cfRule>
    <cfRule type="expression" priority="13" dxfId="2">
      <formula>AND(J2&lt;&gt;"",$D2="Non")</formula>
    </cfRule>
  </conditionalFormatting>
  <conditionalFormatting sqref="K2:K22">
    <cfRule type="expression" priority="14" dxfId="1">
      <formula>AND(K2&lt;&gt;"",$D2="Oui")</formula>
    </cfRule>
    <cfRule type="expression" priority="15" dxfId="2">
      <formula>AND(K2&lt;&gt;"",$D2="Non")</formula>
    </cfRule>
  </conditionalFormatting>
  <conditionalFormatting sqref="L2:L22">
    <cfRule type="expression" priority="16" dxfId="1">
      <formula>AND(L2&lt;&gt;"",$D2="Oui")</formula>
    </cfRule>
    <cfRule type="expression" priority="17" dxfId="2">
      <formula>AND(L2&lt;&gt;"",$D2="Non")</formula>
    </cfRule>
  </conditionalFormatting>
  <conditionalFormatting sqref="M2:M22">
    <cfRule type="expression" priority="18" dxfId="1">
      <formula>AND(M2&lt;&gt;"",$D2="Oui")</formula>
    </cfRule>
    <cfRule type="expression" priority="19" dxfId="2">
      <formula>AND(M2&lt;&gt;"",$D2="Non")</formula>
    </cfRule>
  </conditionalFormatting>
  <conditionalFormatting sqref="N2:N22">
    <cfRule type="expression" priority="20" dxfId="1">
      <formula>AND(N2&lt;&gt;"",$D2="Oui")</formula>
    </cfRule>
    <cfRule type="expression" priority="21" dxfId="2">
      <formula>AND(N2&lt;&gt;"",$D2="Non")</formula>
    </cfRule>
  </conditionalFormatting>
  <dataValidations count="3">
    <dataValidation sqref="C2:C22" showDropDown="0" showInputMessage="0" showErrorMessage="1" allowBlank="1" errorTitle="Valeur hors liste" error="Choisissez une valeur dans la liste." type="list">
      <formula1>Listes!$C$2:$C$4</formula1>
    </dataValidation>
    <dataValidation sqref="D2:D22" showDropDown="0" showInputMessage="0" showErrorMessage="1" allowBlank="1" errorTitle="Valeur hors liste" error="Choisissez une valeur dans la liste." type="list">
      <formula1>Listes!$A$2:$A$3</formula1>
    </dataValidation>
    <dataValidation sqref="E2:N22" showDropDown="0" showInputMessage="0" showErrorMessage="1" allowBlank="1" errorTitle="Valeur hors liste" error="Choisissez une valeur dans la liste." type="list">
      <formula1>Listes!$B$2:$B$2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7" t="inlineStr">
        <is>
          <t>OuiNon</t>
        </is>
      </c>
      <c r="B1" s="17" t="inlineStr">
        <is>
          <t>Coche</t>
        </is>
      </c>
      <c r="C1" s="17" t="inlineStr">
        <is>
          <t>Statuts</t>
        </is>
      </c>
      <c r="E1" s="18" t="inlineStr">
        <is>
          <t>Ces listes alimentent les menus déroulants de l'onglet Équipements.</t>
        </is>
      </c>
    </row>
    <row r="2">
      <c r="A2" s="19" t="inlineStr">
        <is>
          <t>Oui</t>
        </is>
      </c>
      <c r="B2" s="19" t="inlineStr">
        <is>
          <t>x</t>
        </is>
      </c>
      <c r="C2" s="19" t="inlineStr">
        <is>
          <t>Actif</t>
        </is>
      </c>
    </row>
    <row r="3">
      <c r="A3" s="19" t="inlineStr">
        <is>
          <t>Non</t>
        </is>
      </c>
      <c r="C3" s="19" t="inlineStr">
        <is>
          <t>Nouveau</t>
        </is>
      </c>
    </row>
    <row r="4">
      <c r="C4" s="19" t="inlineStr">
        <is>
          <t>À retirer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70" customWidth="1" min="3" max="3"/>
    <col width="44" customWidth="1" min="4" max="4"/>
    <col width="44" customWidth="1" min="5" max="5"/>
  </cols>
  <sheetData>
    <row r="1">
      <c r="A1" s="5" t="inlineStr">
        <is>
          <t>Identifiant</t>
        </is>
      </c>
      <c r="B1" s="6" t="inlineStr">
        <is>
          <t>Équipement</t>
        </is>
      </c>
      <c r="C1" s="6" t="inlineStr">
        <is>
          <t>Description (2 à 3 lignes, site)</t>
        </is>
      </c>
      <c r="D1" s="6" t="inlineStr">
        <is>
          <t>Conditions d'accès</t>
        </is>
      </c>
      <c r="E1" s="6" t="inlineStr">
        <is>
          <t>Règles d'usage</t>
        </is>
      </c>
      <c r="G1" s="18" t="inlineStr">
        <is>
          <t>Les textes du site. Aujourd'hui remplacés par du faux texte sur la page Espaces wellness. Moins urgent que l'onglet Équipements.</t>
        </is>
      </c>
    </row>
    <row r="2">
      <c r="A2" s="18" t="inlineStr">
        <is>
          <t>musculation</t>
        </is>
      </c>
      <c r="B2" s="19" t="inlineStr">
        <is>
          <t>Plateau musculation</t>
        </is>
      </c>
      <c r="C2" s="20" t="n"/>
      <c r="D2" s="20" t="n"/>
      <c r="E2" s="20" t="n"/>
      <c r="G2" s="18" t="inlineStr">
        <is>
          <t>Conditions d'accès et règles d'usage : si elles changent d'un club à l'autre, dites-le ici et donnez le détail par club.</t>
        </is>
      </c>
    </row>
    <row r="3">
      <c r="A3" s="18" t="inlineStr">
        <is>
          <t>cardio</t>
        </is>
      </c>
      <c r="B3" s="19" t="inlineStr">
        <is>
          <t>Zone cardio</t>
        </is>
      </c>
      <c r="C3" s="20" t="n"/>
      <c r="D3" s="20" t="n"/>
      <c r="E3" s="20" t="n"/>
    </row>
    <row r="4">
      <c r="A4" s="18" t="inlineStr">
        <is>
          <t>fonctionnel</t>
        </is>
      </c>
      <c r="B4" s="19" t="inlineStr">
        <is>
          <t>Espace fonctionnel</t>
        </is>
      </c>
      <c r="C4" s="20" t="n"/>
      <c r="D4" s="20" t="n"/>
      <c r="E4" s="20" t="n"/>
    </row>
    <row r="5">
      <c r="A5" s="18" t="inlineStr">
        <is>
          <t>cross</t>
        </is>
      </c>
      <c r="B5" s="19" t="inlineStr">
        <is>
          <t>Cross training</t>
        </is>
      </c>
      <c r="C5" s="20" t="n"/>
      <c r="D5" s="20" t="n"/>
      <c r="E5" s="20" t="n"/>
    </row>
    <row r="6">
      <c r="A6" s="18" t="inlineStr">
        <is>
          <t>salle-cours</t>
        </is>
      </c>
      <c r="B6" s="19" t="inlineStr">
        <is>
          <t>Salle de cours</t>
        </is>
      </c>
      <c r="C6" s="20" t="n"/>
      <c r="D6" s="20" t="n"/>
      <c r="E6" s="20" t="n"/>
    </row>
    <row r="7">
      <c r="A7" s="18" t="inlineStr">
        <is>
          <t>piscine</t>
        </is>
      </c>
      <c r="B7" s="19" t="inlineStr">
        <is>
          <t>Piscine</t>
        </is>
      </c>
      <c r="C7" s="20" t="n"/>
      <c r="D7" s="20" t="n"/>
      <c r="E7" s="20" t="n"/>
    </row>
    <row r="8">
      <c r="A8" s="18" t="inlineStr">
        <is>
          <t>sauna</t>
        </is>
      </c>
      <c r="B8" s="19" t="inlineStr">
        <is>
          <t>Sauna</t>
        </is>
      </c>
      <c r="C8" s="20" t="n"/>
      <c r="D8" s="20" t="n"/>
      <c r="E8" s="20" t="n"/>
    </row>
    <row r="9">
      <c r="A9" s="18" t="inlineStr">
        <is>
          <t>hammam</t>
        </is>
      </c>
      <c r="B9" s="19" t="inlineStr">
        <is>
          <t>Hammam</t>
        </is>
      </c>
      <c r="C9" s="20" t="n"/>
      <c r="D9" s="20" t="n"/>
      <c r="E9" s="20" t="n"/>
    </row>
    <row r="10">
      <c r="A10" s="18" t="inlineStr">
        <is>
          <t>jacuzzi</t>
        </is>
      </c>
      <c r="B10" s="19" t="inlineStr">
        <is>
          <t>Jacuzzi</t>
        </is>
      </c>
      <c r="C10" s="20" t="n"/>
      <c r="D10" s="20" t="n"/>
      <c r="E10" s="20" t="n"/>
    </row>
    <row r="11">
      <c r="A11" s="18" t="inlineStr">
        <is>
          <t>jets</t>
        </is>
      </c>
      <c r="B11" s="19" t="inlineStr">
        <is>
          <t>Jets massants</t>
        </is>
      </c>
      <c r="C11" s="20" t="n"/>
      <c r="D11" s="20" t="n"/>
      <c r="E11" s="20" t="n"/>
    </row>
    <row r="12">
      <c r="A12" s="18" t="inlineStr">
        <is>
          <t>parking</t>
        </is>
      </c>
      <c r="B12" s="19" t="inlineStr">
        <is>
          <t>Parking</t>
        </is>
      </c>
      <c r="C12" s="20" t="n"/>
      <c r="D12" s="20" t="n"/>
      <c r="E12" s="2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6" customWidth="1" min="5" max="5"/>
  </cols>
  <sheetData>
    <row r="1">
      <c r="A1" s="5" t="inlineStr">
        <is>
          <t>Identifiant</t>
        </is>
      </c>
      <c r="B1" s="6" t="inlineStr">
        <is>
          <t>Club</t>
        </is>
      </c>
      <c r="C1" s="6" t="inlineStr">
        <is>
          <t>Catégorie</t>
        </is>
      </c>
      <c r="D1" s="6" t="inlineStr">
        <is>
          <t>Canton</t>
        </is>
      </c>
      <c r="E1" s="6" t="inlineStr">
        <is>
          <t>Nb équipements</t>
        </is>
      </c>
      <c r="G1" s="18" t="inlineStr">
        <is>
          <t>Une colonne par club dans l'onglet Équipements, dans cet ordre. Le compte se met à jour tout seul.</t>
        </is>
      </c>
    </row>
    <row r="2">
      <c r="A2" s="18" t="inlineStr">
        <is>
          <t>blandonnet</t>
        </is>
      </c>
      <c r="B2" s="19" t="inlineStr">
        <is>
          <t>Blandonnet</t>
        </is>
      </c>
      <c r="C2" s="19" t="inlineStr">
        <is>
          <t>Essential</t>
        </is>
      </c>
      <c r="D2" s="19" t="inlineStr">
        <is>
          <t>Genève</t>
        </is>
      </c>
      <c r="E2" s="21">
        <f>COUNTA('Équipements'!E2:E22)</f>
        <v/>
      </c>
    </row>
    <row r="3">
      <c r="A3" s="18" t="inlineStr">
        <is>
          <t>geneve-eaux-vives</t>
        </is>
      </c>
      <c r="B3" s="19" t="inlineStr">
        <is>
          <t>Genève · Eaux-Vives</t>
        </is>
      </c>
      <c r="C3" s="19" t="inlineStr">
        <is>
          <t>Essential</t>
        </is>
      </c>
      <c r="D3" s="19" t="inlineStr">
        <is>
          <t>Genève</t>
        </is>
      </c>
      <c r="E3" s="21">
        <f>COUNTA('Équipements'!F2:F22)</f>
        <v/>
      </c>
    </row>
    <row r="4">
      <c r="A4" s="18" t="inlineStr">
        <is>
          <t>geneve-la-praille</t>
        </is>
      </c>
      <c r="B4" s="19" t="inlineStr">
        <is>
          <t>Genève · La Praille</t>
        </is>
      </c>
      <c r="C4" s="19" t="inlineStr">
        <is>
          <t>Premium</t>
        </is>
      </c>
      <c r="D4" s="19" t="inlineStr">
        <is>
          <t>Genève</t>
        </is>
      </c>
      <c r="E4" s="21">
        <f>COUNTA('Équipements'!G2:G22)</f>
        <v/>
      </c>
    </row>
    <row r="5">
      <c r="A5" s="18" t="inlineStr">
        <is>
          <t>geneve-paquis</t>
        </is>
      </c>
      <c r="B5" s="19" t="inlineStr">
        <is>
          <t>Genève · Pâquis</t>
        </is>
      </c>
      <c r="C5" s="19" t="inlineStr">
        <is>
          <t>Gym</t>
        </is>
      </c>
      <c r="D5" s="19" t="inlineStr">
        <is>
          <t>Genève</t>
        </is>
      </c>
      <c r="E5" s="21">
        <f>COUNTA('Équipements'!H2:H22)</f>
        <v/>
      </c>
    </row>
    <row r="6">
      <c r="A6" s="18" t="inlineStr">
        <is>
          <t>meyrin</t>
        </is>
      </c>
      <c r="B6" s="19" t="inlineStr">
        <is>
          <t>Meyrin</t>
        </is>
      </c>
      <c r="C6" s="19" t="inlineStr">
        <is>
          <t>Essential</t>
        </is>
      </c>
      <c r="D6" s="19" t="inlineStr">
        <is>
          <t>Genève</t>
        </is>
      </c>
      <c r="E6" s="21">
        <f>COUNTA('Équipements'!I2:I22)</f>
        <v/>
      </c>
    </row>
    <row r="7">
      <c r="A7" s="18" t="inlineStr">
        <is>
          <t>versoix</t>
        </is>
      </c>
      <c r="B7" s="19" t="inlineStr">
        <is>
          <t>Versoix</t>
        </is>
      </c>
      <c r="C7" s="19" t="inlineStr">
        <is>
          <t>Essential</t>
        </is>
      </c>
      <c r="D7" s="19" t="inlineStr">
        <is>
          <t>Genève</t>
        </is>
      </c>
      <c r="E7" s="21">
        <f>COUNTA('Équipements'!J2:J22)</f>
        <v/>
      </c>
    </row>
    <row r="8">
      <c r="A8" s="18" t="inlineStr">
        <is>
          <t>veyrier</t>
        </is>
      </c>
      <c r="B8" s="19" t="inlineStr">
        <is>
          <t>Veyrier</t>
        </is>
      </c>
      <c r="C8" s="19" t="inlineStr">
        <is>
          <t>Premium</t>
        </is>
      </c>
      <c r="D8" s="19" t="inlineStr">
        <is>
          <t>Genève</t>
        </is>
      </c>
      <c r="E8" s="21">
        <f>COUNTA('Équipements'!K2:K22)</f>
        <v/>
      </c>
    </row>
    <row r="9">
      <c r="A9" s="18" t="inlineStr">
        <is>
          <t>denges</t>
        </is>
      </c>
      <c r="B9" s="19" t="inlineStr">
        <is>
          <t>Denges</t>
        </is>
      </c>
      <c r="C9" s="19" t="inlineStr">
        <is>
          <t>Premium</t>
        </is>
      </c>
      <c r="D9" s="19" t="inlineStr">
        <is>
          <t>Vaud</t>
        </is>
      </c>
      <c r="E9" s="21">
        <f>COUNTA('Équipements'!L2:L22)</f>
        <v/>
      </c>
    </row>
    <row r="10">
      <c r="A10" s="18" t="inlineStr">
        <is>
          <t>gland</t>
        </is>
      </c>
      <c r="B10" s="19" t="inlineStr">
        <is>
          <t>Gland</t>
        </is>
      </c>
      <c r="C10" s="19" t="inlineStr">
        <is>
          <t>Essential</t>
        </is>
      </c>
      <c r="D10" s="19" t="inlineStr">
        <is>
          <t>Vaud</t>
        </is>
      </c>
      <c r="E10" s="21">
        <f>COUNTA('Équipements'!M2:M22)</f>
        <v/>
      </c>
    </row>
    <row r="11">
      <c r="A11" s="18" t="inlineStr">
        <is>
          <t>signy</t>
        </is>
      </c>
      <c r="B11" s="19" t="inlineStr">
        <is>
          <t>Signy</t>
        </is>
      </c>
      <c r="C11" s="19" t="inlineStr">
        <is>
          <t>Essential</t>
        </is>
      </c>
      <c r="D11" s="19" t="inlineStr">
        <is>
          <t>Vaud</t>
        </is>
      </c>
      <c r="E11" s="21">
        <f>COUNTA('Équipements'!N2:N22)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2026-09-17T14:41:34Z</dcterms:created>
  <dcterms:modified xsi:type="dcterms:W3CDTF">2026-09-17T14:41:34Z</dcterms:modified>
</cp:coreProperties>
</file>